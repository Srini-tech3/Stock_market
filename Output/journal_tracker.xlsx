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sz val="16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19" customWidth="1" min="10" max="10"/>
    <col width="20" customWidth="1" min="11" max="11"/>
    <col width="10" customWidth="1" min="12" max="12"/>
    <col width="10" customWidth="1" min="13" max="13"/>
    <col width="17" customWidth="1" min="14" max="14"/>
  </cols>
  <sheetData>
    <row r="1">
      <c r="A1" s="2" t="inlineStr">
        <is>
          <t>Rank</t>
        </is>
      </c>
      <c r="B1" s="2" t="inlineStr">
        <is>
          <t>ExpiryDate</t>
        </is>
      </c>
      <c r="C1" s="2" t="inlineStr">
        <is>
          <t>Strategy</t>
        </is>
      </c>
      <c r="D1" s="2" t="inlineStr">
        <is>
          <t>Option</t>
        </is>
      </c>
      <c r="E1" s="2" t="inlineStr">
        <is>
          <t>SellStrike</t>
        </is>
      </c>
      <c r="F1" s="2" t="inlineStr">
        <is>
          <t>BuyStrike</t>
        </is>
      </c>
      <c r="G1" s="2" t="inlineStr">
        <is>
          <t>SellPremium</t>
        </is>
      </c>
      <c r="H1" s="2" t="inlineStr">
        <is>
          <t>BuyPremium</t>
        </is>
      </c>
      <c r="I1" s="2" t="inlineStr">
        <is>
          <t>EstimatedPOP</t>
        </is>
      </c>
      <c r="J1" s="2" t="inlineStr">
        <is>
          <t>Standalone Funds</t>
        </is>
      </c>
      <c r="K1" s="2" t="inlineStr">
        <is>
          <t>Standalone Margin</t>
        </is>
      </c>
      <c r="L1" s="2" t="inlineStr">
        <is>
          <t>Profit</t>
        </is>
      </c>
      <c r="M1" s="2" t="inlineStr">
        <is>
          <t>Loss</t>
        </is>
      </c>
      <c r="N1" s="2" t="inlineStr">
        <is>
          <t>Available Fund</t>
        </is>
      </c>
    </row>
    <row r="2">
      <c r="A2" s="3" t="n">
        <v>1</v>
      </c>
      <c r="B2" s="3" t="inlineStr">
        <is>
          <t>2026-07-28</t>
        </is>
      </c>
      <c r="C2" s="3" t="inlineStr">
        <is>
          <t>Bull Put</t>
        </is>
      </c>
      <c r="D2" s="3" t="inlineStr">
        <is>
          <t>PE</t>
        </is>
      </c>
      <c r="E2" s="3" t="n">
        <v>23550</v>
      </c>
      <c r="F2" s="3" t="n">
        <v>23250</v>
      </c>
      <c r="G2" s="3" t="n">
        <v>33.55</v>
      </c>
      <c r="H2" s="3" t="n">
        <v>17.1</v>
      </c>
      <c r="I2" s="3" t="n">
        <v>89</v>
      </c>
      <c r="J2" s="3" t="n">
        <v>50819</v>
      </c>
      <c r="K2" s="3" t="n">
        <v>48638</v>
      </c>
      <c r="L2" s="3" t="n"/>
      <c r="M2" s="3" t="n"/>
      <c r="N2" s="3">
        <f>300000.0-J2</f>
        <v/>
      </c>
    </row>
    <row r="3">
      <c r="A3" s="3" t="n">
        <v>2</v>
      </c>
      <c r="B3" s="3" t="inlineStr">
        <is>
          <t>2026-07-28</t>
        </is>
      </c>
      <c r="C3" s="3" t="inlineStr">
        <is>
          <t>Bull Put</t>
        </is>
      </c>
      <c r="D3" s="3" t="inlineStr">
        <is>
          <t>PE</t>
        </is>
      </c>
      <c r="E3" s="3" t="n">
        <v>23600</v>
      </c>
      <c r="F3" s="3" t="n">
        <v>23300</v>
      </c>
      <c r="G3" s="3" t="n">
        <v>36.45</v>
      </c>
      <c r="H3" s="3" t="n">
        <v>19.55</v>
      </c>
      <c r="I3" s="3" t="n">
        <v>88</v>
      </c>
      <c r="J3" s="3" t="n">
        <v>50915</v>
      </c>
      <c r="K3" s="3" t="n">
        <v>48546</v>
      </c>
      <c r="L3" s="3" t="n"/>
      <c r="M3" s="3" t="n"/>
      <c r="N3" s="3">
        <f>N2-J3</f>
        <v/>
      </c>
    </row>
    <row r="4">
      <c r="A4" s="3" t="n">
        <v>1</v>
      </c>
      <c r="B4" s="3" t="inlineStr">
        <is>
          <t>2026-07-28</t>
        </is>
      </c>
      <c r="C4" s="3" t="inlineStr">
        <is>
          <t>Bear Call</t>
        </is>
      </c>
      <c r="D4" s="3" t="inlineStr">
        <is>
          <t>CE</t>
        </is>
      </c>
      <c r="E4" s="3" t="n">
        <v>24950</v>
      </c>
      <c r="F4" s="3" t="n">
        <v>25250</v>
      </c>
      <c r="G4" s="3" t="n">
        <v>23.45</v>
      </c>
      <c r="H4" s="3" t="n">
        <v>5.5</v>
      </c>
      <c r="I4" s="3" t="n">
        <v>90</v>
      </c>
      <c r="J4" s="3" t="n">
        <v>49743</v>
      </c>
      <c r="K4" s="3" t="n">
        <v>48218</v>
      </c>
      <c r="L4" s="3" t="n"/>
      <c r="M4" s="3" t="n"/>
      <c r="N4" s="3">
        <f>N3-J4</f>
        <v/>
      </c>
    </row>
    <row r="5">
      <c r="A5" s="3" t="n">
        <v>2</v>
      </c>
      <c r="B5" s="3" t="inlineStr">
        <is>
          <t>2026-07-28</t>
        </is>
      </c>
      <c r="C5" s="3" t="inlineStr">
        <is>
          <t>Bear Call</t>
        </is>
      </c>
      <c r="D5" s="3" t="inlineStr">
        <is>
          <t>CE</t>
        </is>
      </c>
      <c r="E5" s="3" t="n">
        <v>24900</v>
      </c>
      <c r="F5" s="3" t="n">
        <v>25200</v>
      </c>
      <c r="G5" s="3" t="n">
        <v>30.35</v>
      </c>
      <c r="H5" s="3" t="n">
        <v>7.4</v>
      </c>
      <c r="I5" s="3" t="n">
        <v>87</v>
      </c>
      <c r="J5" s="3" t="n">
        <v>49798</v>
      </c>
      <c r="K5" s="3" t="n">
        <v>47826</v>
      </c>
      <c r="L5" s="3" t="n"/>
      <c r="M5" s="3" t="n"/>
      <c r="N5" s="3">
        <f>N4-J5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2026-07-18T17:57:11Z</dcterms:created>
  <dcterms:modified xsi:type="dcterms:W3CDTF">2026-07-18T17:57:11Z</dcterms:modified>
</cp:coreProperties>
</file>